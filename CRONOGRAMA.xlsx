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030\Downloads\"/>
    </mc:Choice>
  </mc:AlternateContent>
  <xr:revisionPtr revIDLastSave="0" documentId="8_{49BFE58B-DBD0-4DE7-8DE2-996BEA13A5B3}" xr6:coauthVersionLast="47" xr6:coauthVersionMax="47" xr10:uidLastSave="{00000000-0000-0000-0000-000000000000}"/>
  <bookViews>
    <workbookView xWindow="3924" yWindow="1392" windowWidth="17280" windowHeight="9420" xr2:uid="{8A905D7A-A32F-46AC-A49B-DC4576FBC21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F66" i="1"/>
  <c r="F65" i="1"/>
  <c r="F43" i="1"/>
  <c r="F42" i="1"/>
  <c r="F59" i="1"/>
  <c r="F58" i="1"/>
  <c r="F50" i="1"/>
  <c r="F49" i="1"/>
  <c r="F35" i="1"/>
  <c r="F36" i="1"/>
  <c r="F34" i="1"/>
  <c r="F24" i="1"/>
  <c r="F11" i="1"/>
  <c r="F63" i="1"/>
  <c r="F64" i="1"/>
  <c r="F67" i="1"/>
  <c r="F62" i="1"/>
  <c r="F55" i="1"/>
  <c r="F56" i="1"/>
  <c r="F57" i="1"/>
  <c r="F60" i="1"/>
  <c r="F54" i="1"/>
  <c r="F47" i="1"/>
  <c r="F48" i="1"/>
  <c r="F51" i="1"/>
  <c r="F52" i="1"/>
  <c r="F46" i="1"/>
  <c r="F44" i="1"/>
  <c r="F28" i="1"/>
  <c r="F39" i="1"/>
  <c r="F40" i="1"/>
  <c r="F41" i="1"/>
  <c r="F38" i="1"/>
  <c r="F31" i="1"/>
  <c r="F32" i="1"/>
  <c r="F33" i="1"/>
  <c r="F30" i="1"/>
  <c r="F19" i="1"/>
  <c r="F20" i="1"/>
  <c r="F21" i="1"/>
  <c r="F22" i="1"/>
  <c r="F23" i="1"/>
  <c r="F16" i="1"/>
  <c r="D6" i="1"/>
  <c r="D7" i="1"/>
  <c r="D8" i="1"/>
  <c r="D9" i="1"/>
  <c r="D13" i="1"/>
  <c r="E6" i="1"/>
  <c r="F6" i="1"/>
  <c r="E7" i="1"/>
  <c r="F7" i="1"/>
  <c r="E8" i="1"/>
  <c r="E9" i="1"/>
  <c r="E13" i="1"/>
  <c r="F8" i="1"/>
  <c r="F10" i="1"/>
  <c r="F12" i="1"/>
  <c r="F14" i="1"/>
  <c r="F15" i="1"/>
  <c r="E5" i="1"/>
  <c r="D5" i="1"/>
  <c r="F13" i="1"/>
  <c r="F9" i="1"/>
  <c r="F5" i="1"/>
</calcChain>
</file>

<file path=xl/sharedStrings.xml><?xml version="1.0" encoding="utf-8"?>
<sst xmlns="http://schemas.openxmlformats.org/spreadsheetml/2006/main" count="208" uniqueCount="77">
  <si>
    <t>CRONOGRAMA DE ACTIVIDADES - PROYECTO MIGO</t>
  </si>
  <si>
    <t>Período: Mayo 2026 - Julio 2026</t>
  </si>
  <si>
    <t>No.</t>
  </si>
  <si>
    <t>ACTIVIDAD</t>
  </si>
  <si>
    <t>RESPONSABLE</t>
  </si>
  <si>
    <t>FECHA INICIO</t>
  </si>
  <si>
    <t>FECHA LIMITE</t>
  </si>
  <si>
    <t>DURACION (dias)</t>
  </si>
  <si>
    <t>ESTADO</t>
  </si>
  <si>
    <t>%AVANCE</t>
  </si>
  <si>
    <t>SPRINT 0</t>
  </si>
  <si>
    <t>Act 3 - EMDS_ Etapa I - Análisis del proyecto.</t>
  </si>
  <si>
    <t>Bruno</t>
  </si>
  <si>
    <t>Completado</t>
  </si>
  <si>
    <t>Act 3 - EMDS_Etapa II - Selección de la metodología.</t>
  </si>
  <si>
    <t>Fernanda</t>
  </si>
  <si>
    <t>Act 3 - EMDS_Etapa III - Elaboración del plan de trabajo</t>
  </si>
  <si>
    <t xml:space="preserve">Bryan </t>
  </si>
  <si>
    <t>Act 3 - EMDS_Etapa IV - Conclusiones</t>
  </si>
  <si>
    <t>Jefte</t>
  </si>
  <si>
    <t>SPRINT-0 (PI)</t>
  </si>
  <si>
    <t>Equipo Completo.</t>
  </si>
  <si>
    <t>Plantilla IEEE8.30</t>
  </si>
  <si>
    <t>Bryan / Bruno / Jefte</t>
  </si>
  <si>
    <t>Elaboración de encuestas a usuarios.</t>
  </si>
  <si>
    <t>Matriz de comunicación.</t>
  </si>
  <si>
    <t>Elaboracion del cronograma de actividades.</t>
  </si>
  <si>
    <t>Matriz de riesgo.</t>
  </si>
  <si>
    <t>Modelo Canvas.</t>
  </si>
  <si>
    <t>Reunion de equipo para retroalimentacion.</t>
  </si>
  <si>
    <t>SPRINT 1</t>
  </si>
  <si>
    <t>Elaboracion de  sketches Modulo TT-01.</t>
  </si>
  <si>
    <t>Diseño en figma-Modulo TT-01.</t>
  </si>
  <si>
    <t>Diseño de la base de base de datos(Tablas del Modulo TT-01).</t>
  </si>
  <si>
    <t>Desarrollo Frontend-Modulo TT-01.</t>
  </si>
  <si>
    <t>Desarrollo Backend-Modulo TT-01.</t>
  </si>
  <si>
    <t>Bryan</t>
  </si>
  <si>
    <t>Documentacion actualizada.(PI)</t>
  </si>
  <si>
    <t>Todos</t>
  </si>
  <si>
    <t>Metricas de gestion del proyecto.</t>
  </si>
  <si>
    <t>Etapa de Testeo</t>
  </si>
  <si>
    <t>Etapa de desplegado</t>
  </si>
  <si>
    <t>Retrasado</t>
  </si>
  <si>
    <t>AC5-Dashboard en Excel para metricas de productividad</t>
  </si>
  <si>
    <t>SPRINT 2</t>
  </si>
  <si>
    <t>Diseño en figma-Modulo TT-02.</t>
  </si>
  <si>
    <t>Diseño de la base de datos(Tablas del Modulo TT-02).</t>
  </si>
  <si>
    <t>Desarrollo Frontend-Modulo TT-02.</t>
  </si>
  <si>
    <t>Desarrollo Backend-Modulo TT-02.</t>
  </si>
  <si>
    <t>SPRINT 3</t>
  </si>
  <si>
    <t>Diseño en figma-Modulo TT-03.</t>
  </si>
  <si>
    <t>Diseño de la base de datos(Tablas del Modulo TT-03).</t>
  </si>
  <si>
    <t>Desarrollo Frontend-Modulo  TT-03.</t>
  </si>
  <si>
    <t>Desarrollo Backend-Modulo TT-03.</t>
  </si>
  <si>
    <t>Etapa de testeo</t>
  </si>
  <si>
    <t>SPRINT 4</t>
  </si>
  <si>
    <t>Diseño en figma-Modulo TT-04.</t>
  </si>
  <si>
    <t>Diseño de la base de datos (COMPLETA)</t>
  </si>
  <si>
    <t>Desarrollo Frontend-Modulo TT-04.</t>
  </si>
  <si>
    <t>Desarrollo Backend-Modulo TT-04.</t>
  </si>
  <si>
    <t>SPRINT 5</t>
  </si>
  <si>
    <t>Diseño en figma-Modulo TT-05.</t>
  </si>
  <si>
    <t>Pendiente</t>
  </si>
  <si>
    <t>Modificaciones a la base de datos en caso de errores</t>
  </si>
  <si>
    <t>Desarrollo Frontend Modulo  TT-05.</t>
  </si>
  <si>
    <t>Desarrollo Backend-Modulo TT-05.</t>
  </si>
  <si>
    <t>SPRINT 6</t>
  </si>
  <si>
    <t>Diseño en figma-Modulo TT-06.</t>
  </si>
  <si>
    <t>Desarrollo Frontend Modulo TT-06.</t>
  </si>
  <si>
    <t>Desarrollo Backend-Modulo TT-06.</t>
  </si>
  <si>
    <t>SPRINT 7</t>
  </si>
  <si>
    <t>Diseño en figma Modulo TT-07</t>
  </si>
  <si>
    <t>Equipo completo</t>
  </si>
  <si>
    <t>Desarrollo Frontend Modulo TT-07</t>
  </si>
  <si>
    <t>Desarrollo Backend Modulo TT-07</t>
  </si>
  <si>
    <t>Presentacion del proyecto en canva</t>
  </si>
  <si>
    <t>FECHA DE ENTREGA 12 DE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</si>
</sst>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</font>
    <font>
      <i/>
      <sz val="10"/>
      <color theme="1"/>
      <name val="Aptos Narrow"/>
      <scheme val="minor"/>
    </font>
    <font>
      <sz val="10"/>
      <color theme="0"/>
      <name val="Aptos Narrow"/>
      <scheme val="minor"/>
    </font>
    <font>
      <sz val="10"/>
      <color theme="1"/>
      <name val="Aptos Narrow"/>
      <scheme val="minor"/>
    </font>
    <font>
      <sz val="10"/>
      <name val="Aptos Narrow"/>
      <scheme val="minor"/>
    </font>
    <font>
      <sz val="10"/>
      <color rgb="FF000000"/>
      <name val="Aptos Narrow"/>
      <scheme val="minor"/>
    </font>
    <font>
      <sz val="11"/>
      <color theme="1"/>
      <name val="Aptos Narrow"/>
      <scheme val="minor"/>
    </font>
    <font>
      <sz val="10"/>
      <color rgb="FFFFFFFF"/>
      <name val="Aptos Narrow"/>
      <scheme val="minor"/>
    </font>
    <font>
      <sz val="11"/>
      <color theme="0"/>
      <name val="Aptos Narrow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3" fillId="5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9" fontId="4" fillId="3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6" borderId="1" xfId="0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/>
    </xf>
    <xf numFmtId="9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5" borderId="1" xfId="0" applyFont="1" applyFill="1" applyBorder="1"/>
    <xf numFmtId="0" fontId="8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9" fontId="10" fillId="3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5" borderId="2" xfId="0" applyFont="1" applyFill="1" applyBorder="1"/>
    <xf numFmtId="0" fontId="9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9" fontId="10" fillId="5" borderId="2" xfId="0" applyNumberFormat="1" applyFont="1" applyFill="1" applyBorder="1" applyAlignment="1">
      <alignment horizontal="center"/>
    </xf>
    <xf numFmtId="0" fontId="7" fillId="5" borderId="3" xfId="0" applyFont="1" applyFill="1" applyBorder="1"/>
    <xf numFmtId="0" fontId="9" fillId="5" borderId="3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color rgb="FF595959"/>
      </font>
      <fill>
        <patternFill patternType="solid">
          <fgColor indexed="64"/>
          <bgColor rgb="FFE0E0E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E0E0E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595959"/>
      </font>
      <fill>
        <patternFill patternType="solid">
          <fgColor indexed="64"/>
          <bgColor rgb="FFE0E0E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4E79"/>
      </font>
      <fill>
        <patternFill patternType="solid">
          <fgColor indexed="64"/>
          <bgColor rgb="FFBDD7E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6F8420-964A-40F2-ADBA-9E0129945384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cefb0dd5-19d5-40c0-a8aa-58945728031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6D010-E039-415D-BA87-ECE089060891}">
  <dimension ref="A1:I75"/>
  <sheetViews>
    <sheetView tabSelected="1" topLeftCell="A2" zoomScale="84" workbookViewId="0">
      <selection activeCell="J64" sqref="J64"/>
    </sheetView>
  </sheetViews>
  <sheetFormatPr baseColWidth="10" defaultColWidth="11.44140625" defaultRowHeight="14.4" x14ac:dyDescent="0.3"/>
  <cols>
    <col min="1" max="1" width="12.6640625" customWidth="1"/>
    <col min="2" max="2" width="55.33203125" bestFit="1" customWidth="1"/>
    <col min="3" max="3" width="22.33203125" customWidth="1"/>
    <col min="4" max="5" width="17.44140625" customWidth="1"/>
    <col min="6" max="6" width="18.5546875" customWidth="1"/>
    <col min="7" max="7" width="16.6640625" customWidth="1"/>
    <col min="8" max="8" width="14.6640625" customWidth="1"/>
    <col min="9" max="9" width="17.44140625" bestFit="1" customWidth="1"/>
    <col min="10" max="10" width="18.5546875" bestFit="1" customWidth="1"/>
  </cols>
  <sheetData>
    <row r="1" spans="1:9" ht="34.950000000000003" customHeight="1" x14ac:dyDescent="0.3">
      <c r="A1" s="34" t="s">
        <v>0</v>
      </c>
      <c r="B1" s="34"/>
      <c r="C1" s="34"/>
      <c r="D1" s="34"/>
      <c r="E1" s="34"/>
      <c r="F1" s="34"/>
      <c r="G1" s="34"/>
      <c r="H1" s="34"/>
    </row>
    <row r="2" spans="1:9" x14ac:dyDescent="0.3">
      <c r="A2" s="35" t="s">
        <v>1</v>
      </c>
      <c r="B2" s="35"/>
      <c r="C2" s="35"/>
      <c r="D2" s="35"/>
      <c r="E2" s="35"/>
      <c r="F2" s="35"/>
      <c r="G2" s="35"/>
      <c r="H2" s="35"/>
    </row>
    <row r="3" spans="1:9" x14ac:dyDescent="0.3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</row>
    <row r="4" spans="1:9" ht="28.2" customHeight="1" x14ac:dyDescent="0.3">
      <c r="A4" s="2"/>
      <c r="B4" s="17"/>
      <c r="C4" s="18" t="s">
        <v>10</v>
      </c>
      <c r="D4" s="17"/>
      <c r="E4" s="17"/>
      <c r="F4" s="17"/>
      <c r="G4" s="17"/>
      <c r="H4" s="17"/>
    </row>
    <row r="5" spans="1:9" x14ac:dyDescent="0.3">
      <c r="A5" s="4">
        <v>1</v>
      </c>
      <c r="B5" s="3" t="s">
        <v>11</v>
      </c>
      <c r="C5" s="4" t="s">
        <v>12</v>
      </c>
      <c r="D5" s="5">
        <f>DATE(2026,5,19)</f>
        <v>46161</v>
      </c>
      <c r="E5" s="5">
        <f>DATE(2026,5,22)</f>
        <v>46164</v>
      </c>
      <c r="F5" s="4">
        <f>IF(AND(D5&lt;&gt;"",E5&lt;&gt;""),E5-D5+1,"")</f>
        <v>4</v>
      </c>
      <c r="G5" s="4" t="s">
        <v>13</v>
      </c>
      <c r="H5" s="6">
        <v>1</v>
      </c>
      <c r="I5" s="1"/>
    </row>
    <row r="6" spans="1:9" x14ac:dyDescent="0.3">
      <c r="A6" s="12">
        <v>2</v>
      </c>
      <c r="B6" s="7" t="s">
        <v>14</v>
      </c>
      <c r="C6" s="8" t="s">
        <v>15</v>
      </c>
      <c r="D6" s="9">
        <f t="shared" ref="D6:D13" si="0">DATE(2026,5,19)</f>
        <v>46161</v>
      </c>
      <c r="E6" s="9">
        <f t="shared" ref="E6:E13" si="1">DATE(2026,5,22)</f>
        <v>46164</v>
      </c>
      <c r="F6" s="8">
        <f t="shared" ref="F6:F16" si="2">IF(AND(D6&lt;&gt;"",E6&lt;&gt;""),E6-D6+1,"")</f>
        <v>4</v>
      </c>
      <c r="G6" s="8" t="s">
        <v>13</v>
      </c>
      <c r="H6" s="10">
        <v>1</v>
      </c>
      <c r="I6" s="1"/>
    </row>
    <row r="7" spans="1:9" x14ac:dyDescent="0.3">
      <c r="A7" s="4">
        <v>3</v>
      </c>
      <c r="B7" s="3" t="s">
        <v>16</v>
      </c>
      <c r="C7" s="4" t="s">
        <v>17</v>
      </c>
      <c r="D7" s="5">
        <f t="shared" si="0"/>
        <v>46161</v>
      </c>
      <c r="E7" s="5">
        <f t="shared" si="1"/>
        <v>46164</v>
      </c>
      <c r="F7" s="4">
        <f t="shared" si="2"/>
        <v>4</v>
      </c>
      <c r="G7" s="4" t="s">
        <v>13</v>
      </c>
      <c r="H7" s="6">
        <v>1</v>
      </c>
      <c r="I7" s="1"/>
    </row>
    <row r="8" spans="1:9" x14ac:dyDescent="0.3">
      <c r="A8" s="12">
        <v>4</v>
      </c>
      <c r="B8" s="11" t="s">
        <v>18</v>
      </c>
      <c r="C8" s="8" t="s">
        <v>19</v>
      </c>
      <c r="D8" s="9">
        <f t="shared" si="0"/>
        <v>46161</v>
      </c>
      <c r="E8" s="9">
        <f t="shared" si="1"/>
        <v>46164</v>
      </c>
      <c r="F8" s="8">
        <f t="shared" si="2"/>
        <v>4</v>
      </c>
      <c r="G8" s="8" t="s">
        <v>13</v>
      </c>
      <c r="H8" s="10">
        <v>1</v>
      </c>
      <c r="I8" s="1"/>
    </row>
    <row r="9" spans="1:9" x14ac:dyDescent="0.3">
      <c r="A9" s="4">
        <v>5</v>
      </c>
      <c r="B9" s="3" t="s">
        <v>20</v>
      </c>
      <c r="C9" s="4" t="s">
        <v>21</v>
      </c>
      <c r="D9" s="5">
        <f t="shared" si="0"/>
        <v>46161</v>
      </c>
      <c r="E9" s="5">
        <f t="shared" si="1"/>
        <v>46164</v>
      </c>
      <c r="F9" s="4">
        <f t="shared" si="2"/>
        <v>4</v>
      </c>
      <c r="G9" s="4" t="s">
        <v>13</v>
      </c>
      <c r="H9" s="6">
        <v>1</v>
      </c>
      <c r="I9" s="1"/>
    </row>
    <row r="10" spans="1:9" x14ac:dyDescent="0.3">
      <c r="A10" s="12">
        <v>6</v>
      </c>
      <c r="B10" s="11" t="s">
        <v>22</v>
      </c>
      <c r="C10" s="8" t="s">
        <v>23</v>
      </c>
      <c r="D10" s="9">
        <v>46164</v>
      </c>
      <c r="E10" s="9">
        <v>46166</v>
      </c>
      <c r="F10" s="8">
        <f t="shared" si="2"/>
        <v>3</v>
      </c>
      <c r="G10" s="8" t="s">
        <v>13</v>
      </c>
      <c r="H10" s="10">
        <v>1</v>
      </c>
      <c r="I10" s="1"/>
    </row>
    <row r="11" spans="1:9" x14ac:dyDescent="0.3">
      <c r="A11" s="12">
        <v>7</v>
      </c>
      <c r="B11" s="11" t="s">
        <v>24</v>
      </c>
      <c r="C11" s="8" t="s">
        <v>21</v>
      </c>
      <c r="D11" s="9">
        <v>46164</v>
      </c>
      <c r="E11" s="9">
        <v>46167</v>
      </c>
      <c r="F11" s="8">
        <f t="shared" si="2"/>
        <v>4</v>
      </c>
      <c r="G11" s="8" t="s">
        <v>13</v>
      </c>
      <c r="H11" s="10">
        <v>1</v>
      </c>
      <c r="I11" s="1"/>
    </row>
    <row r="12" spans="1:9" x14ac:dyDescent="0.3">
      <c r="A12" s="4">
        <v>8</v>
      </c>
      <c r="B12" s="3" t="s">
        <v>25</v>
      </c>
      <c r="C12" s="4" t="s">
        <v>12</v>
      </c>
      <c r="D12" s="5">
        <v>46164</v>
      </c>
      <c r="E12" s="5">
        <v>46167</v>
      </c>
      <c r="F12" s="4">
        <f t="shared" si="2"/>
        <v>4</v>
      </c>
      <c r="G12" s="4" t="s">
        <v>13</v>
      </c>
      <c r="H12" s="6">
        <v>1</v>
      </c>
      <c r="I12" s="1"/>
    </row>
    <row r="13" spans="1:9" x14ac:dyDescent="0.3">
      <c r="A13" s="12">
        <v>9</v>
      </c>
      <c r="B13" s="11" t="s">
        <v>26</v>
      </c>
      <c r="C13" s="8" t="s">
        <v>15</v>
      </c>
      <c r="D13" s="9">
        <f t="shared" si="0"/>
        <v>46161</v>
      </c>
      <c r="E13" s="9">
        <f t="shared" si="1"/>
        <v>46164</v>
      </c>
      <c r="F13" s="8">
        <f t="shared" si="2"/>
        <v>4</v>
      </c>
      <c r="G13" s="8" t="s">
        <v>13</v>
      </c>
      <c r="H13" s="10">
        <v>1</v>
      </c>
      <c r="I13" s="1"/>
    </row>
    <row r="14" spans="1:9" x14ac:dyDescent="0.3">
      <c r="A14" s="4">
        <v>10</v>
      </c>
      <c r="B14" s="3" t="s">
        <v>27</v>
      </c>
      <c r="C14" s="4" t="s">
        <v>19</v>
      </c>
      <c r="D14" s="5">
        <v>46164</v>
      </c>
      <c r="E14" s="5">
        <v>46167</v>
      </c>
      <c r="F14" s="4">
        <f t="shared" si="2"/>
        <v>4</v>
      </c>
      <c r="G14" s="4" t="s">
        <v>13</v>
      </c>
      <c r="H14" s="6">
        <v>1</v>
      </c>
      <c r="I14" s="1"/>
    </row>
    <row r="15" spans="1:9" x14ac:dyDescent="0.3">
      <c r="A15" s="12">
        <v>11</v>
      </c>
      <c r="B15" s="7" t="s">
        <v>28</v>
      </c>
      <c r="C15" s="12" t="s">
        <v>15</v>
      </c>
      <c r="D15" s="9">
        <v>46165</v>
      </c>
      <c r="E15" s="9">
        <v>46167</v>
      </c>
      <c r="F15" s="8">
        <f t="shared" si="2"/>
        <v>3</v>
      </c>
      <c r="G15" s="8" t="s">
        <v>13</v>
      </c>
      <c r="H15" s="10">
        <v>1</v>
      </c>
      <c r="I15" s="1"/>
    </row>
    <row r="16" spans="1:9" x14ac:dyDescent="0.3">
      <c r="A16" s="12">
        <v>12</v>
      </c>
      <c r="B16" s="7" t="s">
        <v>29</v>
      </c>
      <c r="C16" s="12" t="s">
        <v>21</v>
      </c>
      <c r="D16" s="9">
        <v>46164</v>
      </c>
      <c r="E16" s="9">
        <v>46164</v>
      </c>
      <c r="F16" s="8">
        <f t="shared" si="2"/>
        <v>1</v>
      </c>
      <c r="G16" s="8" t="s">
        <v>13</v>
      </c>
      <c r="H16" s="10">
        <v>1</v>
      </c>
      <c r="I16" s="1"/>
    </row>
    <row r="17" spans="1:8" x14ac:dyDescent="0.3">
      <c r="A17" s="2"/>
      <c r="B17" s="2"/>
      <c r="C17" s="17" t="s">
        <v>30</v>
      </c>
      <c r="D17" s="2"/>
      <c r="E17" s="2"/>
      <c r="F17" s="2"/>
      <c r="G17" s="2"/>
      <c r="H17" s="2"/>
    </row>
    <row r="18" spans="1:8" x14ac:dyDescent="0.3">
      <c r="A18" s="19">
        <v>1</v>
      </c>
      <c r="B18" s="7" t="s">
        <v>31</v>
      </c>
      <c r="C18" s="13" t="s">
        <v>15</v>
      </c>
      <c r="D18" s="5">
        <v>46167</v>
      </c>
      <c r="E18" s="5">
        <v>46173</v>
      </c>
      <c r="F18" s="4">
        <f>IF(AND(D18&lt;&gt;"",E18&lt;&gt;""),E18-D18+1,"")</f>
        <v>7</v>
      </c>
      <c r="G18" s="12" t="s">
        <v>13</v>
      </c>
      <c r="H18" s="6">
        <v>1</v>
      </c>
    </row>
    <row r="19" spans="1:8" x14ac:dyDescent="0.3">
      <c r="A19" s="19">
        <v>2</v>
      </c>
      <c r="B19" s="7" t="s">
        <v>32</v>
      </c>
      <c r="C19" s="13" t="s">
        <v>15</v>
      </c>
      <c r="D19" s="5">
        <v>46167</v>
      </c>
      <c r="E19" s="5">
        <v>46173</v>
      </c>
      <c r="F19" s="4">
        <f t="shared" ref="F19:F67" si="3">IF(AND(D19&lt;&gt;"",E19&lt;&gt;""),E19-D19+1,"")</f>
        <v>7</v>
      </c>
      <c r="G19" s="12" t="s">
        <v>13</v>
      </c>
      <c r="H19" s="6">
        <v>1</v>
      </c>
    </row>
    <row r="20" spans="1:8" x14ac:dyDescent="0.3">
      <c r="A20" s="19">
        <v>3</v>
      </c>
      <c r="B20" s="7" t="s">
        <v>33</v>
      </c>
      <c r="C20" s="13" t="s">
        <v>19</v>
      </c>
      <c r="D20" s="5">
        <v>46167</v>
      </c>
      <c r="E20" s="5">
        <v>46173</v>
      </c>
      <c r="F20" s="4">
        <f t="shared" si="3"/>
        <v>7</v>
      </c>
      <c r="G20" s="12" t="s">
        <v>13</v>
      </c>
      <c r="H20" s="6">
        <v>1</v>
      </c>
    </row>
    <row r="21" spans="1:8" x14ac:dyDescent="0.3">
      <c r="A21" s="19">
        <v>4</v>
      </c>
      <c r="B21" s="7" t="s">
        <v>34</v>
      </c>
      <c r="C21" s="13" t="s">
        <v>12</v>
      </c>
      <c r="D21" s="5">
        <v>46167</v>
      </c>
      <c r="E21" s="5">
        <v>46173</v>
      </c>
      <c r="F21" s="4">
        <f t="shared" si="3"/>
        <v>7</v>
      </c>
      <c r="G21" s="12" t="s">
        <v>13</v>
      </c>
      <c r="H21" s="6">
        <v>1</v>
      </c>
    </row>
    <row r="22" spans="1:8" x14ac:dyDescent="0.3">
      <c r="A22" s="19">
        <v>5</v>
      </c>
      <c r="B22" s="7" t="s">
        <v>35</v>
      </c>
      <c r="C22" s="13" t="s">
        <v>36</v>
      </c>
      <c r="D22" s="5">
        <v>46167</v>
      </c>
      <c r="E22" s="5">
        <v>46173</v>
      </c>
      <c r="F22" s="4">
        <f t="shared" si="3"/>
        <v>7</v>
      </c>
      <c r="G22" s="12" t="s">
        <v>13</v>
      </c>
      <c r="H22" s="6">
        <v>0.75</v>
      </c>
    </row>
    <row r="23" spans="1:8" x14ac:dyDescent="0.3">
      <c r="A23" s="19">
        <v>6</v>
      </c>
      <c r="B23" s="7" t="s">
        <v>37</v>
      </c>
      <c r="C23" s="13" t="s">
        <v>38</v>
      </c>
      <c r="D23" s="5">
        <v>46167</v>
      </c>
      <c r="E23" s="5">
        <v>46173</v>
      </c>
      <c r="F23" s="4">
        <f t="shared" si="3"/>
        <v>7</v>
      </c>
      <c r="G23" s="12" t="s">
        <v>13</v>
      </c>
      <c r="H23" s="6">
        <v>1</v>
      </c>
    </row>
    <row r="24" spans="1:8" x14ac:dyDescent="0.3">
      <c r="A24" s="19">
        <v>7</v>
      </c>
      <c r="B24" s="7" t="s">
        <v>39</v>
      </c>
      <c r="C24" s="13" t="s">
        <v>38</v>
      </c>
      <c r="D24" s="5">
        <v>46167</v>
      </c>
      <c r="E24" s="5">
        <v>46170</v>
      </c>
      <c r="F24" s="4">
        <f t="shared" si="3"/>
        <v>4</v>
      </c>
      <c r="G24" s="12" t="s">
        <v>13</v>
      </c>
      <c r="H24" s="6">
        <v>1</v>
      </c>
    </row>
    <row r="25" spans="1:8" x14ac:dyDescent="0.3">
      <c r="A25" s="19">
        <v>8</v>
      </c>
      <c r="B25" s="7" t="s">
        <v>40</v>
      </c>
      <c r="C25" s="13" t="s">
        <v>38</v>
      </c>
      <c r="D25" s="5">
        <v>46167</v>
      </c>
      <c r="E25" s="5">
        <v>46173</v>
      </c>
      <c r="F25" s="4">
        <v>7</v>
      </c>
      <c r="G25" s="12" t="s">
        <v>13</v>
      </c>
      <c r="H25" s="6">
        <v>1</v>
      </c>
    </row>
    <row r="26" spans="1:8" ht="18.75" customHeight="1" x14ac:dyDescent="0.3">
      <c r="A26" s="19">
        <v>9</v>
      </c>
      <c r="B26" s="7" t="s">
        <v>41</v>
      </c>
      <c r="C26" s="13" t="s">
        <v>38</v>
      </c>
      <c r="D26" s="5">
        <v>46167</v>
      </c>
      <c r="E26" s="5">
        <v>46173</v>
      </c>
      <c r="F26" s="4">
        <v>7</v>
      </c>
      <c r="G26" s="12" t="s">
        <v>42</v>
      </c>
      <c r="H26" s="6">
        <v>0</v>
      </c>
    </row>
    <row r="27" spans="1:8" x14ac:dyDescent="0.3">
      <c r="A27" s="19">
        <v>10</v>
      </c>
      <c r="B27" s="21" t="s">
        <v>43</v>
      </c>
      <c r="C27" s="13" t="s">
        <v>21</v>
      </c>
      <c r="D27" s="5">
        <v>46167</v>
      </c>
      <c r="E27" s="5">
        <v>46174</v>
      </c>
      <c r="F27" s="4">
        <v>7</v>
      </c>
      <c r="G27" s="12" t="s">
        <v>13</v>
      </c>
      <c r="H27" s="6">
        <v>1</v>
      </c>
    </row>
    <row r="28" spans="1:8" x14ac:dyDescent="0.3">
      <c r="A28" s="19">
        <v>11</v>
      </c>
      <c r="B28" s="7" t="s">
        <v>29</v>
      </c>
      <c r="C28" s="13" t="s">
        <v>21</v>
      </c>
      <c r="D28" s="5">
        <v>46167</v>
      </c>
      <c r="E28" s="5">
        <v>46167</v>
      </c>
      <c r="F28" s="4">
        <f t="shared" si="3"/>
        <v>1</v>
      </c>
      <c r="G28" s="12" t="s">
        <v>13</v>
      </c>
      <c r="H28" s="6">
        <v>1</v>
      </c>
    </row>
    <row r="29" spans="1:8" x14ac:dyDescent="0.3">
      <c r="A29" s="14"/>
      <c r="B29" s="14"/>
      <c r="C29" s="15" t="s">
        <v>44</v>
      </c>
      <c r="D29" s="14"/>
      <c r="E29" s="14"/>
      <c r="F29" s="14"/>
      <c r="G29" s="14"/>
      <c r="H29" s="14"/>
    </row>
    <row r="30" spans="1:8" x14ac:dyDescent="0.3">
      <c r="A30" s="12">
        <v>1</v>
      </c>
      <c r="B30" s="7" t="s">
        <v>45</v>
      </c>
      <c r="C30" s="13" t="s">
        <v>15</v>
      </c>
      <c r="D30" s="5">
        <v>46174</v>
      </c>
      <c r="E30" s="5">
        <v>46180</v>
      </c>
      <c r="F30" s="4">
        <f t="shared" si="3"/>
        <v>7</v>
      </c>
      <c r="G30" s="12" t="s">
        <v>13</v>
      </c>
      <c r="H30" s="6">
        <v>1</v>
      </c>
    </row>
    <row r="31" spans="1:8" x14ac:dyDescent="0.3">
      <c r="A31" s="12">
        <v>2</v>
      </c>
      <c r="B31" s="7" t="s">
        <v>46</v>
      </c>
      <c r="C31" s="13" t="s">
        <v>19</v>
      </c>
      <c r="D31" s="5">
        <v>46174</v>
      </c>
      <c r="E31" s="5">
        <v>46180</v>
      </c>
      <c r="F31" s="4">
        <f t="shared" si="3"/>
        <v>7</v>
      </c>
      <c r="G31" s="12" t="s">
        <v>13</v>
      </c>
      <c r="H31" s="6">
        <v>1</v>
      </c>
    </row>
    <row r="32" spans="1:8" x14ac:dyDescent="0.3">
      <c r="A32" s="12">
        <v>3</v>
      </c>
      <c r="B32" s="7" t="s">
        <v>47</v>
      </c>
      <c r="C32" s="13" t="s">
        <v>12</v>
      </c>
      <c r="D32" s="5">
        <v>46174</v>
      </c>
      <c r="E32" s="5">
        <v>46180</v>
      </c>
      <c r="F32" s="4">
        <f t="shared" si="3"/>
        <v>7</v>
      </c>
      <c r="G32" s="12" t="s">
        <v>13</v>
      </c>
      <c r="H32" s="6">
        <v>1</v>
      </c>
    </row>
    <row r="33" spans="1:8" x14ac:dyDescent="0.3">
      <c r="A33" s="12">
        <v>5</v>
      </c>
      <c r="B33" s="7" t="s">
        <v>48</v>
      </c>
      <c r="C33" s="13" t="s">
        <v>36</v>
      </c>
      <c r="D33" s="5">
        <v>46174</v>
      </c>
      <c r="E33" s="5">
        <v>46180</v>
      </c>
      <c r="F33" s="4">
        <f t="shared" si="3"/>
        <v>7</v>
      </c>
      <c r="G33" s="12" t="s">
        <v>13</v>
      </c>
      <c r="H33" s="6">
        <v>1</v>
      </c>
    </row>
    <row r="34" spans="1:8" x14ac:dyDescent="0.3">
      <c r="A34" s="12">
        <v>6</v>
      </c>
      <c r="B34" s="7" t="s">
        <v>40</v>
      </c>
      <c r="C34" s="13" t="s">
        <v>38</v>
      </c>
      <c r="D34" s="5">
        <v>46174</v>
      </c>
      <c r="E34" s="5">
        <v>46180</v>
      </c>
      <c r="F34" s="4">
        <f t="shared" si="3"/>
        <v>7</v>
      </c>
      <c r="G34" s="12" t="s">
        <v>13</v>
      </c>
      <c r="H34" s="6">
        <v>1</v>
      </c>
    </row>
    <row r="35" spans="1:8" x14ac:dyDescent="0.3">
      <c r="A35" s="12">
        <v>7</v>
      </c>
      <c r="B35" s="7" t="s">
        <v>41</v>
      </c>
      <c r="C35" s="13" t="s">
        <v>38</v>
      </c>
      <c r="D35" s="5">
        <v>46174</v>
      </c>
      <c r="E35" s="5">
        <v>46180</v>
      </c>
      <c r="F35" s="4">
        <f t="shared" si="3"/>
        <v>7</v>
      </c>
      <c r="G35" s="12" t="s">
        <v>42</v>
      </c>
      <c r="H35" s="6">
        <v>1</v>
      </c>
    </row>
    <row r="36" spans="1:8" x14ac:dyDescent="0.3">
      <c r="A36" s="12">
        <v>8</v>
      </c>
      <c r="B36" s="7" t="s">
        <v>29</v>
      </c>
      <c r="C36" s="13" t="s">
        <v>38</v>
      </c>
      <c r="D36" s="5">
        <v>46174</v>
      </c>
      <c r="E36" s="5">
        <v>46180</v>
      </c>
      <c r="F36" s="4">
        <f t="shared" ref="F36" si="4">IF(AND(D36&lt;&gt;"",E36&lt;&gt;""),E36-D36+1,"")</f>
        <v>7</v>
      </c>
      <c r="G36" s="12" t="s">
        <v>13</v>
      </c>
      <c r="H36" s="6">
        <v>1</v>
      </c>
    </row>
    <row r="37" spans="1:8" x14ac:dyDescent="0.3">
      <c r="A37" s="20"/>
      <c r="B37" s="14"/>
      <c r="C37" s="15" t="s">
        <v>49</v>
      </c>
      <c r="D37" s="14"/>
      <c r="E37" s="14"/>
      <c r="F37" s="14"/>
      <c r="G37" s="14"/>
      <c r="H37" s="14"/>
    </row>
    <row r="38" spans="1:8" x14ac:dyDescent="0.3">
      <c r="A38" s="12">
        <v>1</v>
      </c>
      <c r="B38" s="7" t="s">
        <v>50</v>
      </c>
      <c r="C38" s="13" t="s">
        <v>15</v>
      </c>
      <c r="D38" s="5">
        <v>46181</v>
      </c>
      <c r="E38" s="5">
        <v>46187</v>
      </c>
      <c r="F38" s="4">
        <f t="shared" si="3"/>
        <v>7</v>
      </c>
      <c r="G38" s="12" t="s">
        <v>13</v>
      </c>
      <c r="H38" s="6">
        <v>1</v>
      </c>
    </row>
    <row r="39" spans="1:8" x14ac:dyDescent="0.3">
      <c r="A39" s="12">
        <v>2</v>
      </c>
      <c r="B39" s="7" t="s">
        <v>51</v>
      </c>
      <c r="C39" s="13" t="s">
        <v>19</v>
      </c>
      <c r="D39" s="5">
        <v>46181</v>
      </c>
      <c r="E39" s="5">
        <v>46187</v>
      </c>
      <c r="F39" s="4">
        <f t="shared" si="3"/>
        <v>7</v>
      </c>
      <c r="G39" s="12" t="s">
        <v>13</v>
      </c>
      <c r="H39" s="6">
        <v>1</v>
      </c>
    </row>
    <row r="40" spans="1:8" x14ac:dyDescent="0.3">
      <c r="A40" s="12">
        <v>3</v>
      </c>
      <c r="B40" s="7" t="s">
        <v>52</v>
      </c>
      <c r="C40" s="13" t="s">
        <v>12</v>
      </c>
      <c r="D40" s="5">
        <v>46181</v>
      </c>
      <c r="E40" s="5">
        <v>46187</v>
      </c>
      <c r="F40" s="4">
        <f t="shared" si="3"/>
        <v>7</v>
      </c>
      <c r="G40" s="12" t="s">
        <v>13</v>
      </c>
      <c r="H40" s="6">
        <v>1</v>
      </c>
    </row>
    <row r="41" spans="1:8" x14ac:dyDescent="0.3">
      <c r="A41" s="12">
        <v>4</v>
      </c>
      <c r="B41" s="7" t="s">
        <v>53</v>
      </c>
      <c r="C41" s="13" t="s">
        <v>17</v>
      </c>
      <c r="D41" s="5">
        <v>46181</v>
      </c>
      <c r="E41" s="5">
        <v>46187</v>
      </c>
      <c r="F41" s="4">
        <f t="shared" si="3"/>
        <v>7</v>
      </c>
      <c r="G41" s="12" t="s">
        <v>13</v>
      </c>
      <c r="H41" s="6">
        <v>1</v>
      </c>
    </row>
    <row r="42" spans="1:8" x14ac:dyDescent="0.3">
      <c r="A42" s="12">
        <v>5</v>
      </c>
      <c r="B42" s="7" t="s">
        <v>54</v>
      </c>
      <c r="C42" s="13" t="s">
        <v>38</v>
      </c>
      <c r="D42" s="5">
        <v>46181</v>
      </c>
      <c r="E42" s="5">
        <v>46187</v>
      </c>
      <c r="F42" s="4">
        <f t="shared" si="3"/>
        <v>7</v>
      </c>
      <c r="G42" s="12" t="s">
        <v>13</v>
      </c>
      <c r="H42" s="6">
        <v>1</v>
      </c>
    </row>
    <row r="43" spans="1:8" x14ac:dyDescent="0.3">
      <c r="A43" s="12">
        <v>6</v>
      </c>
      <c r="B43" s="7" t="s">
        <v>41</v>
      </c>
      <c r="C43" s="13" t="s">
        <v>38</v>
      </c>
      <c r="D43" s="5">
        <v>46181</v>
      </c>
      <c r="E43" s="5">
        <v>46187</v>
      </c>
      <c r="F43" s="4">
        <f t="shared" si="3"/>
        <v>7</v>
      </c>
      <c r="G43" s="12" t="s">
        <v>42</v>
      </c>
      <c r="H43" s="6">
        <v>0</v>
      </c>
    </row>
    <row r="44" spans="1:8" x14ac:dyDescent="0.3">
      <c r="A44" s="12">
        <v>7</v>
      </c>
      <c r="B44" s="7" t="s">
        <v>29</v>
      </c>
      <c r="C44" s="13" t="s">
        <v>38</v>
      </c>
      <c r="D44" s="5">
        <v>46181</v>
      </c>
      <c r="E44" s="5">
        <v>46187</v>
      </c>
      <c r="F44" s="4">
        <f t="shared" si="3"/>
        <v>7</v>
      </c>
      <c r="G44" s="12" t="s">
        <v>13</v>
      </c>
      <c r="H44" s="6">
        <v>1</v>
      </c>
    </row>
    <row r="45" spans="1:8" x14ac:dyDescent="0.3">
      <c r="A45" s="20"/>
      <c r="B45" s="14"/>
      <c r="C45" s="17" t="s">
        <v>55</v>
      </c>
      <c r="D45" s="14"/>
      <c r="E45" s="14"/>
      <c r="F45" s="14"/>
      <c r="G45" s="14"/>
      <c r="H45" s="14"/>
    </row>
    <row r="46" spans="1:8" x14ac:dyDescent="0.3">
      <c r="A46" s="12">
        <v>1</v>
      </c>
      <c r="B46" s="7" t="s">
        <v>56</v>
      </c>
      <c r="C46" s="13" t="s">
        <v>15</v>
      </c>
      <c r="D46" s="5">
        <v>46188</v>
      </c>
      <c r="E46" s="5">
        <v>46194</v>
      </c>
      <c r="F46" s="4">
        <f t="shared" si="3"/>
        <v>7</v>
      </c>
      <c r="G46" s="12" t="s">
        <v>13</v>
      </c>
      <c r="H46" s="6">
        <v>1</v>
      </c>
    </row>
    <row r="47" spans="1:8" x14ac:dyDescent="0.3">
      <c r="A47" s="12">
        <v>2</v>
      </c>
      <c r="B47" s="7" t="s">
        <v>57</v>
      </c>
      <c r="C47" s="13" t="s">
        <v>19</v>
      </c>
      <c r="D47" s="5">
        <v>46188</v>
      </c>
      <c r="E47" s="5">
        <v>46194</v>
      </c>
      <c r="F47" s="4">
        <f t="shared" si="3"/>
        <v>7</v>
      </c>
      <c r="G47" s="12" t="s">
        <v>13</v>
      </c>
      <c r="H47" s="6">
        <v>1</v>
      </c>
    </row>
    <row r="48" spans="1:8" x14ac:dyDescent="0.3">
      <c r="A48" s="12">
        <v>3</v>
      </c>
      <c r="B48" s="7" t="s">
        <v>58</v>
      </c>
      <c r="C48" s="13" t="s">
        <v>12</v>
      </c>
      <c r="D48" s="5">
        <v>46188</v>
      </c>
      <c r="E48" s="5">
        <v>46194</v>
      </c>
      <c r="F48" s="4">
        <f t="shared" si="3"/>
        <v>7</v>
      </c>
      <c r="G48" s="12" t="s">
        <v>13</v>
      </c>
      <c r="H48" s="6">
        <v>1</v>
      </c>
    </row>
    <row r="49" spans="1:8" x14ac:dyDescent="0.3">
      <c r="A49" s="12">
        <v>4</v>
      </c>
      <c r="B49" s="7" t="s">
        <v>40</v>
      </c>
      <c r="C49" s="13" t="s">
        <v>36</v>
      </c>
      <c r="D49" s="5">
        <v>46188</v>
      </c>
      <c r="E49" s="5">
        <v>46194</v>
      </c>
      <c r="F49" s="4">
        <f t="shared" si="3"/>
        <v>7</v>
      </c>
      <c r="G49" s="12" t="s">
        <v>13</v>
      </c>
      <c r="H49" s="6">
        <v>1</v>
      </c>
    </row>
    <row r="50" spans="1:8" x14ac:dyDescent="0.3">
      <c r="A50" s="12">
        <v>5</v>
      </c>
      <c r="B50" s="7" t="s">
        <v>41</v>
      </c>
      <c r="C50" s="13" t="s">
        <v>38</v>
      </c>
      <c r="D50" s="5">
        <v>46188</v>
      </c>
      <c r="E50" s="5">
        <v>46194</v>
      </c>
      <c r="F50" s="4">
        <f t="shared" si="3"/>
        <v>7</v>
      </c>
      <c r="G50" s="12" t="s">
        <v>42</v>
      </c>
      <c r="H50" s="6">
        <v>0</v>
      </c>
    </row>
    <row r="51" spans="1:8" x14ac:dyDescent="0.3">
      <c r="A51" s="12">
        <v>6</v>
      </c>
      <c r="B51" s="7" t="s">
        <v>59</v>
      </c>
      <c r="C51" s="13" t="s">
        <v>38</v>
      </c>
      <c r="D51" s="5">
        <v>46188</v>
      </c>
      <c r="E51" s="5">
        <v>46194</v>
      </c>
      <c r="F51" s="4">
        <f t="shared" si="3"/>
        <v>7</v>
      </c>
      <c r="G51" s="12" t="s">
        <v>13</v>
      </c>
      <c r="H51" s="6">
        <v>1</v>
      </c>
    </row>
    <row r="52" spans="1:8" x14ac:dyDescent="0.3">
      <c r="A52" s="12">
        <v>7</v>
      </c>
      <c r="B52" s="7" t="s">
        <v>29</v>
      </c>
      <c r="C52" s="13" t="s">
        <v>38</v>
      </c>
      <c r="D52" s="5">
        <v>46188</v>
      </c>
      <c r="E52" s="5">
        <v>46188</v>
      </c>
      <c r="F52" s="4">
        <f t="shared" si="3"/>
        <v>1</v>
      </c>
      <c r="G52" s="12" t="s">
        <v>13</v>
      </c>
      <c r="H52" s="6">
        <v>1</v>
      </c>
    </row>
    <row r="53" spans="1:8" x14ac:dyDescent="0.3">
      <c r="A53" s="20"/>
      <c r="B53" s="14"/>
      <c r="C53" s="17" t="s">
        <v>60</v>
      </c>
      <c r="D53" s="14"/>
      <c r="E53" s="14"/>
      <c r="F53" s="14"/>
      <c r="G53" s="14"/>
      <c r="H53" s="14"/>
    </row>
    <row r="54" spans="1:8" x14ac:dyDescent="0.3">
      <c r="A54" s="12">
        <v>1</v>
      </c>
      <c r="B54" s="7" t="s">
        <v>61</v>
      </c>
      <c r="C54" s="13" t="s">
        <v>62</v>
      </c>
      <c r="D54" s="5">
        <v>46195</v>
      </c>
      <c r="E54" s="5">
        <v>46201</v>
      </c>
      <c r="F54" s="4">
        <f t="shared" si="3"/>
        <v>7</v>
      </c>
      <c r="G54" s="12" t="s">
        <v>13</v>
      </c>
      <c r="H54" s="6">
        <v>1</v>
      </c>
    </row>
    <row r="55" spans="1:8" x14ac:dyDescent="0.3">
      <c r="A55" s="12">
        <v>2</v>
      </c>
      <c r="B55" s="7" t="s">
        <v>63</v>
      </c>
      <c r="C55" s="13" t="s">
        <v>62</v>
      </c>
      <c r="D55" s="5">
        <v>46195</v>
      </c>
      <c r="E55" s="5">
        <v>46201</v>
      </c>
      <c r="F55" s="4">
        <f t="shared" si="3"/>
        <v>7</v>
      </c>
      <c r="G55" s="12" t="s">
        <v>13</v>
      </c>
      <c r="H55" s="6">
        <v>1</v>
      </c>
    </row>
    <row r="56" spans="1:8" x14ac:dyDescent="0.3">
      <c r="A56" s="12">
        <v>3</v>
      </c>
      <c r="B56" s="7" t="s">
        <v>64</v>
      </c>
      <c r="C56" s="13" t="s">
        <v>62</v>
      </c>
      <c r="D56" s="5">
        <v>46195</v>
      </c>
      <c r="E56" s="5">
        <v>46201</v>
      </c>
      <c r="F56" s="4">
        <f t="shared" si="3"/>
        <v>7</v>
      </c>
      <c r="G56" s="12" t="s">
        <v>13</v>
      </c>
      <c r="H56" s="6">
        <v>1</v>
      </c>
    </row>
    <row r="57" spans="1:8" x14ac:dyDescent="0.3">
      <c r="A57" s="12">
        <v>4</v>
      </c>
      <c r="B57" s="7" t="s">
        <v>65</v>
      </c>
      <c r="C57" s="13" t="s">
        <v>62</v>
      </c>
      <c r="D57" s="5">
        <v>46195</v>
      </c>
      <c r="E57" s="5">
        <v>46201</v>
      </c>
      <c r="F57" s="4">
        <f t="shared" si="3"/>
        <v>7</v>
      </c>
      <c r="G57" s="12" t="s">
        <v>13</v>
      </c>
      <c r="H57" s="6">
        <v>1</v>
      </c>
    </row>
    <row r="58" spans="1:8" x14ac:dyDescent="0.3">
      <c r="A58" s="12">
        <v>5</v>
      </c>
      <c r="B58" s="7" t="s">
        <v>40</v>
      </c>
      <c r="C58" s="13" t="s">
        <v>38</v>
      </c>
      <c r="D58" s="5">
        <v>46195</v>
      </c>
      <c r="E58" s="5">
        <v>46201</v>
      </c>
      <c r="F58" s="4">
        <f t="shared" si="3"/>
        <v>7</v>
      </c>
      <c r="G58" s="12" t="s">
        <v>13</v>
      </c>
      <c r="H58" s="6">
        <v>1</v>
      </c>
    </row>
    <row r="59" spans="1:8" x14ac:dyDescent="0.3">
      <c r="A59" s="12">
        <v>6</v>
      </c>
      <c r="B59" s="7" t="s">
        <v>41</v>
      </c>
      <c r="C59" s="13" t="s">
        <v>38</v>
      </c>
      <c r="D59" s="5">
        <v>46195</v>
      </c>
      <c r="E59" s="5">
        <v>46201</v>
      </c>
      <c r="F59" s="4">
        <f t="shared" si="3"/>
        <v>7</v>
      </c>
      <c r="G59" s="12" t="s">
        <v>13</v>
      </c>
      <c r="H59" s="6">
        <v>1</v>
      </c>
    </row>
    <row r="60" spans="1:8" x14ac:dyDescent="0.3">
      <c r="A60" s="12">
        <v>7</v>
      </c>
      <c r="B60" s="7" t="s">
        <v>29</v>
      </c>
      <c r="C60" s="13" t="s">
        <v>62</v>
      </c>
      <c r="D60" s="5">
        <v>46195</v>
      </c>
      <c r="E60" s="5">
        <v>46201</v>
      </c>
      <c r="F60" s="4">
        <f t="shared" si="3"/>
        <v>7</v>
      </c>
      <c r="G60" s="12" t="s">
        <v>13</v>
      </c>
      <c r="H60" s="6">
        <v>1</v>
      </c>
    </row>
    <row r="61" spans="1:8" x14ac:dyDescent="0.3">
      <c r="A61" s="20"/>
      <c r="B61" s="14"/>
      <c r="C61" s="17" t="s">
        <v>66</v>
      </c>
      <c r="D61" s="14"/>
      <c r="E61" s="14"/>
      <c r="F61" s="14"/>
      <c r="G61" s="14"/>
      <c r="H61" s="14"/>
    </row>
    <row r="62" spans="1:8" x14ac:dyDescent="0.3">
      <c r="A62" s="12">
        <v>1</v>
      </c>
      <c r="B62" s="7" t="s">
        <v>67</v>
      </c>
      <c r="C62" s="13" t="s">
        <v>62</v>
      </c>
      <c r="D62" s="5">
        <v>46202</v>
      </c>
      <c r="E62" s="5">
        <v>46208</v>
      </c>
      <c r="F62" s="4">
        <f t="shared" si="3"/>
        <v>7</v>
      </c>
      <c r="G62" s="12" t="s">
        <v>13</v>
      </c>
      <c r="H62" s="6">
        <v>1</v>
      </c>
    </row>
    <row r="63" spans="1:8" x14ac:dyDescent="0.3">
      <c r="A63" s="12">
        <v>3</v>
      </c>
      <c r="B63" s="7" t="s">
        <v>68</v>
      </c>
      <c r="C63" s="13" t="s">
        <v>62</v>
      </c>
      <c r="D63" s="5">
        <v>46202</v>
      </c>
      <c r="E63" s="5">
        <v>46208</v>
      </c>
      <c r="F63" s="4">
        <f t="shared" si="3"/>
        <v>7</v>
      </c>
      <c r="G63" s="12" t="s">
        <v>13</v>
      </c>
      <c r="H63" s="6">
        <v>1</v>
      </c>
    </row>
    <row r="64" spans="1:8" x14ac:dyDescent="0.3">
      <c r="A64" s="12">
        <v>4</v>
      </c>
      <c r="B64" s="7" t="s">
        <v>69</v>
      </c>
      <c r="C64" s="13" t="s">
        <v>62</v>
      </c>
      <c r="D64" s="5">
        <v>46202</v>
      </c>
      <c r="E64" s="5">
        <v>46208</v>
      </c>
      <c r="F64" s="4">
        <f t="shared" si="3"/>
        <v>7</v>
      </c>
      <c r="G64" s="12" t="s">
        <v>13</v>
      </c>
      <c r="H64" s="6">
        <v>1</v>
      </c>
    </row>
    <row r="65" spans="1:8" x14ac:dyDescent="0.3">
      <c r="A65" s="12">
        <v>5</v>
      </c>
      <c r="B65" s="7" t="s">
        <v>40</v>
      </c>
      <c r="C65" s="13" t="s">
        <v>38</v>
      </c>
      <c r="D65" s="5">
        <v>46202</v>
      </c>
      <c r="E65" s="5">
        <v>46208</v>
      </c>
      <c r="F65" s="4">
        <f t="shared" si="3"/>
        <v>7</v>
      </c>
      <c r="G65" s="12" t="s">
        <v>13</v>
      </c>
      <c r="H65" s="6">
        <v>1</v>
      </c>
    </row>
    <row r="66" spans="1:8" x14ac:dyDescent="0.3">
      <c r="A66" s="12">
        <v>6</v>
      </c>
      <c r="B66" s="7" t="s">
        <v>41</v>
      </c>
      <c r="C66" s="13" t="s">
        <v>38</v>
      </c>
      <c r="D66" s="5">
        <v>46202</v>
      </c>
      <c r="E66" s="5">
        <v>46208</v>
      </c>
      <c r="F66" s="4">
        <f t="shared" si="3"/>
        <v>7</v>
      </c>
      <c r="G66" s="12" t="s">
        <v>13</v>
      </c>
      <c r="H66" s="6">
        <v>1</v>
      </c>
    </row>
    <row r="67" spans="1:8" x14ac:dyDescent="0.3">
      <c r="A67" s="12">
        <v>7</v>
      </c>
      <c r="B67" s="7" t="s">
        <v>29</v>
      </c>
      <c r="C67" s="13" t="s">
        <v>62</v>
      </c>
      <c r="D67" s="5">
        <v>46202</v>
      </c>
      <c r="E67" s="5">
        <v>46208</v>
      </c>
      <c r="F67" s="4">
        <f t="shared" si="3"/>
        <v>7</v>
      </c>
      <c r="G67" s="12" t="s">
        <v>13</v>
      </c>
      <c r="H67" s="6">
        <v>1</v>
      </c>
    </row>
    <row r="68" spans="1:8" x14ac:dyDescent="0.3">
      <c r="A68" s="28"/>
      <c r="B68" s="28"/>
      <c r="C68" s="29" t="s">
        <v>70</v>
      </c>
      <c r="D68" s="28"/>
      <c r="E68" s="28"/>
      <c r="F68" s="28"/>
      <c r="G68" s="30"/>
      <c r="H68" s="31"/>
    </row>
    <row r="69" spans="1:8" x14ac:dyDescent="0.3">
      <c r="A69" s="22">
        <v>1</v>
      </c>
      <c r="B69" s="23" t="s">
        <v>71</v>
      </c>
      <c r="C69" s="22" t="s">
        <v>72</v>
      </c>
      <c r="D69" s="27">
        <v>46209</v>
      </c>
      <c r="E69" s="26">
        <v>46215</v>
      </c>
      <c r="F69" s="22"/>
      <c r="G69" s="24" t="s">
        <v>62</v>
      </c>
      <c r="H69" s="25">
        <v>0</v>
      </c>
    </row>
    <row r="70" spans="1:8" x14ac:dyDescent="0.3">
      <c r="A70" s="22">
        <v>2</v>
      </c>
      <c r="B70" s="23" t="s">
        <v>73</v>
      </c>
      <c r="C70" s="22" t="s">
        <v>72</v>
      </c>
      <c r="D70" s="27">
        <v>46209</v>
      </c>
      <c r="E70" s="26">
        <v>46215</v>
      </c>
      <c r="F70" s="22"/>
      <c r="G70" s="24" t="s">
        <v>62</v>
      </c>
      <c r="H70" s="25">
        <v>0</v>
      </c>
    </row>
    <row r="71" spans="1:8" x14ac:dyDescent="0.3">
      <c r="A71" s="22">
        <v>3</v>
      </c>
      <c r="B71" s="23" t="s">
        <v>74</v>
      </c>
      <c r="C71" s="22" t="s">
        <v>21</v>
      </c>
      <c r="D71" s="27">
        <v>46209</v>
      </c>
      <c r="E71" s="26">
        <v>46215</v>
      </c>
      <c r="F71" s="22"/>
      <c r="G71" s="24" t="s">
        <v>62</v>
      </c>
      <c r="H71" s="25">
        <v>0</v>
      </c>
    </row>
    <row r="72" spans="1:8" x14ac:dyDescent="0.3">
      <c r="A72" s="22">
        <v>4</v>
      </c>
      <c r="B72" s="23" t="s">
        <v>54</v>
      </c>
      <c r="C72" s="22" t="s">
        <v>21</v>
      </c>
      <c r="D72" s="27">
        <v>46209</v>
      </c>
      <c r="E72" s="26">
        <v>46215</v>
      </c>
      <c r="F72" s="22"/>
      <c r="G72" s="24" t="s">
        <v>62</v>
      </c>
      <c r="H72" s="25">
        <v>0</v>
      </c>
    </row>
    <row r="73" spans="1:8" x14ac:dyDescent="0.3">
      <c r="A73" s="22">
        <v>5</v>
      </c>
      <c r="B73" s="23" t="s">
        <v>41</v>
      </c>
      <c r="C73" s="22" t="s">
        <v>21</v>
      </c>
      <c r="D73" s="27">
        <v>46209</v>
      </c>
      <c r="E73" s="26">
        <v>46215</v>
      </c>
      <c r="F73" s="22"/>
      <c r="G73" s="24" t="s">
        <v>62</v>
      </c>
      <c r="H73" s="25">
        <v>0</v>
      </c>
    </row>
    <row r="74" spans="1:8" x14ac:dyDescent="0.3">
      <c r="A74" s="22">
        <v>6</v>
      </c>
      <c r="B74" s="23" t="s">
        <v>75</v>
      </c>
      <c r="C74" s="22" t="s">
        <v>21</v>
      </c>
      <c r="D74" s="27">
        <v>46209</v>
      </c>
      <c r="E74" s="26">
        <v>46215</v>
      </c>
      <c r="F74" s="22"/>
      <c r="G74" s="24" t="s">
        <v>62</v>
      </c>
      <c r="H74" s="25">
        <v>0</v>
      </c>
    </row>
    <row r="75" spans="1:8" ht="28.8" x14ac:dyDescent="0.3">
      <c r="A75" s="32"/>
      <c r="B75" s="32"/>
      <c r="C75" s="33" t="s">
        <v>76</v>
      </c>
      <c r="D75" s="32"/>
      <c r="E75" s="32"/>
      <c r="F75" s="32"/>
      <c r="G75" s="32"/>
      <c r="H75" s="32"/>
    </row>
  </sheetData>
  <mergeCells count="2">
    <mergeCell ref="A1:H1"/>
    <mergeCell ref="A2:H2"/>
  </mergeCells>
  <conditionalFormatting sqref="G5:G16 G18:G28 G30:G36 G54:G60 G62:G74">
    <cfRule type="containsText" dxfId="11" priority="73" operator="containsText" text="Completado">
      <formula>NOT(ISERROR(SEARCH("Completado",G5)))</formula>
    </cfRule>
    <cfRule type="containsText" dxfId="10" priority="74" operator="containsText" text="En Progreso">
      <formula>NOT(ISERROR(SEARCH("En Progreso",G5)))</formula>
    </cfRule>
    <cfRule type="containsText" dxfId="9" priority="75" operator="containsText" text="Retrasado">
      <formula>NOT(ISERROR(SEARCH("Retrasado",G5)))</formula>
    </cfRule>
    <cfRule type="containsText" dxfId="8" priority="76" operator="containsText" text="Pendiente">
      <formula>NOT(ISERROR(SEARCH("Pendiente",G5)))</formula>
    </cfRule>
  </conditionalFormatting>
  <conditionalFormatting sqref="G38:G44">
    <cfRule type="containsText" dxfId="7" priority="17" operator="containsText" text="Completado">
      <formula>NOT(ISERROR(SEARCH("Completado",G38)))</formula>
    </cfRule>
    <cfRule type="containsText" dxfId="6" priority="18" operator="containsText" text="En Progreso">
      <formula>NOT(ISERROR(SEARCH("En Progreso",G38)))</formula>
    </cfRule>
    <cfRule type="containsText" dxfId="5" priority="19" operator="containsText" text="Retrasado">
      <formula>NOT(ISERROR(SEARCH("Retrasado",G38)))</formula>
    </cfRule>
    <cfRule type="containsText" dxfId="4" priority="20" operator="containsText" text="Pendiente">
      <formula>NOT(ISERROR(SEARCH("Pendiente",G38)))</formula>
    </cfRule>
  </conditionalFormatting>
  <conditionalFormatting sqref="G46:G52">
    <cfRule type="containsText" dxfId="3" priority="13" operator="containsText" text="Completado">
      <formula>NOT(ISERROR(SEARCH("Completado",G46)))</formula>
    </cfRule>
    <cfRule type="containsText" dxfId="2" priority="14" operator="containsText" text="En Progreso">
      <formula>NOT(ISERROR(SEARCH("En Progreso",G46)))</formula>
    </cfRule>
    <cfRule type="containsText" dxfId="1" priority="15" operator="containsText" text="Retrasado">
      <formula>NOT(ISERROR(SEARCH("Retrasado",G46)))</formula>
    </cfRule>
    <cfRule type="containsText" dxfId="0" priority="16" operator="containsText" text="Pendiente">
      <formula>NOT(ISERROR(SEARCH("Pendiente",G46)))</formula>
    </cfRule>
  </conditionalFormatting>
  <dataValidations count="3">
    <dataValidation type="list" allowBlank="1" showInputMessage="1" showErrorMessage="1" sqref="G5:G16 G46:G52 G38:G44 G30:G36 G18:G28 G54:G60 G62:G74" xr:uid="{D7AB9EDD-DC8C-4E7B-82B2-DC8171BDC2C4}">
      <formula1>"Pendiente,En Progreso,Completado,Retrasado"</formula1>
    </dataValidation>
    <dataValidation type="list" allowBlank="1" showInputMessage="1" showErrorMessage="1" sqref="H18:H28 H30:H36 H46:H52 H38:H44 H6:H16 H54:H60 H62:H74" xr:uid="{6543C8EB-877B-4A40-A4C7-D967E112CA73}">
      <formula1>"0%,25%,50%,75%,100%"</formula1>
    </dataValidation>
    <dataValidation type="list" allowBlank="1" showInputMessage="1" showErrorMessage="1" sqref="H5" xr:uid="{DF147AA5-FF27-46CA-8F8C-CCBF140FCB99}">
      <formula1>"0%, 25%, 50%, 75%, 100%"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6b45d5-def1-4dc0-99a9-a17b514e97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D37749671F53459EFD496CD05A5370" ma:contentTypeVersion="10" ma:contentTypeDescription="Crear nuevo documento." ma:contentTypeScope="" ma:versionID="db80ca1b798bb8c17017ba7c9c31d7ee">
  <xsd:schema xmlns:xsd="http://www.w3.org/2001/XMLSchema" xmlns:xs="http://www.w3.org/2001/XMLSchema" xmlns:p="http://schemas.microsoft.com/office/2006/metadata/properties" xmlns:ns3="946b45d5-def1-4dc0-99a9-a17b514e97ff" targetNamespace="http://schemas.microsoft.com/office/2006/metadata/properties" ma:root="true" ma:fieldsID="ed93ca2a8e936a25f41be337ab8fad8c" ns3:_="">
    <xsd:import namespace="946b45d5-def1-4dc0-99a9-a17b514e97f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b45d5-def1-4dc0-99a9-a17b514e97f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CE92C9-9BC4-41B1-82C7-E775994BD9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EABDD8-A135-4F8B-918B-213E7BE681E9}">
  <ds:schemaRefs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946b45d5-def1-4dc0-99a9-a17b514e97ff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AC50844-66E6-4D01-82A4-D8E5F514B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6b45d5-def1-4dc0-99a9-a17b514e97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FERNANDA FABIÁN NAVA</dc:creator>
  <cp:keywords/>
  <dc:description/>
  <cp:lastModifiedBy>BRYAN MARTÍNEZ JIMÉNEZ</cp:lastModifiedBy>
  <cp:revision/>
  <dcterms:created xsi:type="dcterms:W3CDTF">2026-05-21T16:47:16Z</dcterms:created>
  <dcterms:modified xsi:type="dcterms:W3CDTF">2026-09-10T05:27:57Z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0x01010048D37749671F53459EFD496CD05A5370</vt:lpwstr>
  </property>
</Properties>
</file>